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h\Downloads\tah\centauri\"/>
    </mc:Choice>
  </mc:AlternateContent>
  <xr:revisionPtr revIDLastSave="0" documentId="13_ncr:1_{7600F4C0-5ABB-4494-9114-DE21AA2B04B2}" xr6:coauthVersionLast="47" xr6:coauthVersionMax="47" xr10:uidLastSave="{00000000-0000-0000-0000-000000000000}"/>
  <bookViews>
    <workbookView xWindow="-120" yWindow="-120" windowWidth="29040" windowHeight="15720" xr2:uid="{0832C032-354C-4F68-85AC-EA371666B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39" i="1"/>
  <c r="D40" i="1" s="1"/>
  <c r="D14" i="1"/>
  <c r="D15" i="1" s="1"/>
  <c r="D19" i="1" l="1"/>
  <c r="D21" i="1" l="1"/>
  <c r="D22" i="1" s="1"/>
  <c r="D23" i="1" s="1"/>
  <c r="A44" i="1" l="1"/>
  <c r="D42" i="1"/>
</calcChain>
</file>

<file path=xl/sharedStrings.xml><?xml version="1.0" encoding="utf-8"?>
<sst xmlns="http://schemas.openxmlformats.org/spreadsheetml/2006/main" count="19" uniqueCount="19">
  <si>
    <t>Fresnel Zone Calculator</t>
  </si>
  <si>
    <t>d1, meters</t>
  </si>
  <si>
    <t>d2, meters</t>
  </si>
  <si>
    <t>wavelength, meters</t>
  </si>
  <si>
    <t>numerator</t>
  </si>
  <si>
    <t>denomenator</t>
  </si>
  <si>
    <t>*wavelength of 433 MHz = 0.692 meters, 5.8 GHz = 0.0517 meters</t>
  </si>
  <si>
    <t>d1 % of total distance</t>
  </si>
  <si>
    <t>total distance, meters</t>
  </si>
  <si>
    <t>Minimum Radius (60%), meters</t>
  </si>
  <si>
    <t>Minimum Radius (60%), feet</t>
  </si>
  <si>
    <t>So what was the actual clearance?</t>
  </si>
  <si>
    <t>Height of Transmitter, meters</t>
  </si>
  <si>
    <t>Height of Drone, meters</t>
  </si>
  <si>
    <t>Height at d1 % of distance, meters</t>
  </si>
  <si>
    <t>Height at d1 % of distance, feet</t>
  </si>
  <si>
    <t>Addl. Clearence Needed, in feet</t>
  </si>
  <si>
    <t>Zone Number (n) - always 1</t>
  </si>
  <si>
    <t>Radius at d1/d2 point,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</si>
</sst>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0.0000"/>
    <numFmt numFmtId="171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71" fontId="0" fillId="0" borderId="0" xfId="0" applyNumberFormat="1"/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0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171" fontId="2" fillId="3" borderId="8" xfId="0" applyNumberFormat="1" applyFont="1" applyFill="1" applyBorder="1"/>
    <xf numFmtId="9" fontId="0" fillId="2" borderId="5" xfId="0" applyNumberFormat="1" applyFill="1" applyBorder="1"/>
    <xf numFmtId="0" fontId="0" fillId="0" borderId="5" xfId="0" applyFill="1" applyBorder="1"/>
    <xf numFmtId="0" fontId="0" fillId="0" borderId="4" xfId="0" applyFill="1" applyBorder="1"/>
    <xf numFmtId="171" fontId="0" fillId="3" borderId="3" xfId="0" applyNumberFormat="1" applyFont="1" applyFill="1" applyBorder="1"/>
    <xf numFmtId="169" fontId="0" fillId="4" borderId="0" xfId="0" applyNumberFormat="1" applyFill="1"/>
    <xf numFmtId="171" fontId="0" fillId="3" borderId="0" xfId="1" applyNumberFormat="1" applyFont="1" applyFill="1"/>
    <xf numFmtId="0" fontId="0" fillId="0" borderId="0" xfId="0" applyFont="1"/>
    <xf numFmtId="171" fontId="1" fillId="3" borderId="0" xfId="1" applyNumberFormat="1" applyFont="1" applyFill="1"/>
    <xf numFmtId="0" fontId="4" fillId="0" borderId="0" xfId="0" applyFont="1" applyAlignment="1">
      <alignment horizontal="center" vertical="center" wrapText="1"/>
    </xf>
    <xf numFmtId="171" fontId="2" fillId="3" borderId="0" xfId="1" applyNumberFormat="1" applyFont="1" applyFill="1"/>
    <xf numFmtId="171" fontId="0" fillId="3" borderId="5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24318</xdr:rowOff>
    </xdr:from>
    <xdr:to>
      <xdr:col>3</xdr:col>
      <xdr:colOff>120773</xdr:colOff>
      <xdr:row>6</xdr:row>
      <xdr:rowOff>60192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EA50B-912C-A1B3-794A-34B12793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818"/>
          <a:ext cx="2499110" cy="988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28373</xdr:colOff>
      <xdr:row>5</xdr:row>
      <xdr:rowOff>154022</xdr:rowOff>
    </xdr:from>
    <xdr:to>
      <xdr:col>2</xdr:col>
      <xdr:colOff>125397</xdr:colOff>
      <xdr:row>8</xdr:row>
      <xdr:rowOff>7300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87DA5-ECF5-B920-EAFE-08409C72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73" y="1106522"/>
          <a:ext cx="1682074" cy="424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E85A-E6F9-4234-906E-949C58C05F55}">
  <dimension ref="A1:F46"/>
  <sheetViews>
    <sheetView tabSelected="1" zoomScale="190" zoomScaleNormal="190" workbookViewId="0">
      <selection activeCell="F13" sqref="F13"/>
    </sheetView>
  </sheetViews>
  <sheetFormatPr defaultColWidth="11.85546875" defaultRowHeight="15" x14ac:dyDescent="0.25"/>
  <sheetData>
    <row r="1" spans="1:6" x14ac:dyDescent="0.25">
      <c r="A1" s="2" t="s">
        <v>0</v>
      </c>
      <c r="B1" s="2"/>
      <c r="C1" s="2"/>
      <c r="D1" s="2"/>
    </row>
    <row r="11" spans="1:6" x14ac:dyDescent="0.25">
      <c r="A11" s="4" t="s">
        <v>17</v>
      </c>
      <c r="B11" s="5"/>
      <c r="C11" s="5"/>
      <c r="D11" s="6">
        <v>1</v>
      </c>
    </row>
    <row r="12" spans="1:6" x14ac:dyDescent="0.25">
      <c r="A12" s="7" t="s">
        <v>8</v>
      </c>
      <c r="B12" s="8"/>
      <c r="C12" s="8"/>
      <c r="D12" s="9">
        <v>83</v>
      </c>
    </row>
    <row r="13" spans="1:6" x14ac:dyDescent="0.25">
      <c r="A13" s="7" t="s">
        <v>7</v>
      </c>
      <c r="B13" s="8"/>
      <c r="C13" s="8"/>
      <c r="D13" s="14">
        <v>0.5</v>
      </c>
    </row>
    <row r="14" spans="1:6" x14ac:dyDescent="0.25">
      <c r="A14" s="7" t="s">
        <v>1</v>
      </c>
      <c r="B14" s="8"/>
      <c r="C14" s="8"/>
      <c r="D14" s="15">
        <f>D12*D13</f>
        <v>41.5</v>
      </c>
    </row>
    <row r="15" spans="1:6" x14ac:dyDescent="0.25">
      <c r="A15" s="7" t="s">
        <v>2</v>
      </c>
      <c r="B15" s="8"/>
      <c r="C15" s="8"/>
      <c r="D15" s="15">
        <f>D12-D14</f>
        <v>41.5</v>
      </c>
    </row>
    <row r="16" spans="1:6" x14ac:dyDescent="0.25">
      <c r="A16" s="10" t="s">
        <v>3</v>
      </c>
      <c r="B16" s="11"/>
      <c r="C16" s="11"/>
      <c r="D16" s="12">
        <v>0.69199999999999995</v>
      </c>
      <c r="F16" s="3" t="s">
        <v>6</v>
      </c>
    </row>
    <row r="18" spans="1:4" x14ac:dyDescent="0.25">
      <c r="A18" t="s">
        <v>4</v>
      </c>
      <c r="D18">
        <f>D11*D14*D15*D16</f>
        <v>1191.7969999999998</v>
      </c>
    </row>
    <row r="19" spans="1:4" x14ac:dyDescent="0.25">
      <c r="A19" t="s">
        <v>5</v>
      </c>
      <c r="D19">
        <f>SUM(D14:D15)</f>
        <v>83</v>
      </c>
    </row>
    <row r="21" spans="1:4" x14ac:dyDescent="0.25">
      <c r="A21" s="4" t="s">
        <v>18</v>
      </c>
      <c r="B21" s="5"/>
      <c r="C21" s="5"/>
      <c r="D21" s="17">
        <f>SQRT(D18/D19)</f>
        <v>3.7893271170486189</v>
      </c>
    </row>
    <row r="22" spans="1:4" x14ac:dyDescent="0.25">
      <c r="A22" s="16" t="s">
        <v>9</v>
      </c>
      <c r="B22" s="8"/>
      <c r="C22" s="8"/>
      <c r="D22" s="24">
        <f>D21*0.6</f>
        <v>2.2735962702291714</v>
      </c>
    </row>
    <row r="23" spans="1:4" x14ac:dyDescent="0.25">
      <c r="A23" s="10" t="s">
        <v>10</v>
      </c>
      <c r="B23" s="11"/>
      <c r="C23" s="11"/>
      <c r="D23" s="13">
        <f>D22*3.28084</f>
        <v>7.4593055872186751</v>
      </c>
    </row>
    <row r="35" spans="1:4" x14ac:dyDescent="0.25">
      <c r="A35" s="2" t="s">
        <v>11</v>
      </c>
      <c r="B35" s="2"/>
      <c r="C35" s="2"/>
      <c r="D35" s="2"/>
    </row>
    <row r="36" spans="1:4" x14ac:dyDescent="0.25">
      <c r="A36" t="s">
        <v>12</v>
      </c>
      <c r="D36" s="18">
        <v>0.30480000000000002</v>
      </c>
    </row>
    <row r="37" spans="1:4" x14ac:dyDescent="0.25">
      <c r="A37" t="s">
        <v>13</v>
      </c>
      <c r="D37" s="18">
        <v>1.68</v>
      </c>
    </row>
    <row r="39" spans="1:4" x14ac:dyDescent="0.25">
      <c r="A39" t="s">
        <v>14</v>
      </c>
      <c r="D39" s="19">
        <f>MIN(D36:D37)+((MAX(D36:D37)-MIN(D36:D37))*D13)</f>
        <v>0.99239999999999995</v>
      </c>
    </row>
    <row r="40" spans="1:4" x14ac:dyDescent="0.25">
      <c r="A40" t="s">
        <v>15</v>
      </c>
      <c r="D40" s="23">
        <f>D39*3.28084</f>
        <v>3.2559056159999997</v>
      </c>
    </row>
    <row r="41" spans="1:4" x14ac:dyDescent="0.25">
      <c r="D41" s="1"/>
    </row>
    <row r="42" spans="1:4" x14ac:dyDescent="0.25">
      <c r="A42" s="20" t="s">
        <v>16</v>
      </c>
      <c r="B42" s="20"/>
      <c r="C42" s="20"/>
      <c r="D42" s="21">
        <f>MAX(D23-D40, 0)</f>
        <v>4.2033999712186754</v>
      </c>
    </row>
    <row r="44" spans="1:4" x14ac:dyDescent="0.25">
      <c r="A44" s="22" t="str">
        <f>"At point where d1 and d2 meet, there needed to be AT BARE MINIMUM "&amp; TEXT(D23, "#,##0.0") &amp;" feet of clearance from the ground. There was actually " &amp; TEXT(D40, "#,##0.0") &amp; " feet of clearance."</f>
        <v>At point where d1 and d2 meet, there needed to be AT BARE MINIMUM 7.5 feet of clearance from the ground. There was actually 3.3 feet of clearance.</v>
      </c>
      <c r="B44" s="22"/>
      <c r="C44" s="22"/>
      <c r="D44" s="22"/>
    </row>
    <row r="45" spans="1:4" x14ac:dyDescent="0.25">
      <c r="A45" s="22"/>
      <c r="B45" s="22"/>
      <c r="C45" s="22"/>
      <c r="D45" s="22"/>
    </row>
    <row r="46" spans="1:4" x14ac:dyDescent="0.25">
      <c r="A46" s="22"/>
      <c r="B46" s="22"/>
      <c r="C46" s="22"/>
      <c r="D46" s="22"/>
    </row>
  </sheetData>
  <mergeCells count="3">
    <mergeCell ref="A1:D1"/>
    <mergeCell ref="A35:D35"/>
    <mergeCell ref="A44:D46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Hanewich</dc:creator>
  <cp:lastModifiedBy>Tim Hanewich</cp:lastModifiedBy>
  <dcterms:created xsi:type="dcterms:W3CDTF">2026-02-11T16:36:52Z</dcterms:created>
  <dcterms:modified xsi:type="dcterms:W3CDTF">2026-02-12T00:51:47Z</dcterms:modified>
</cp:coreProperties>
</file>